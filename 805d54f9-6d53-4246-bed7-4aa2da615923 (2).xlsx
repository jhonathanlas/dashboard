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8190DAE-73A3-4E11-891D-A3612A49842F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3" l="1"/>
  <c r="E3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<sst xmlns="http://schemas.openxmlformats.org/spreadsheetml/2006/main" count="2022" uniqueCount="324">
  <si>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</si>
  <si>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</si>
  <si>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</si>
  <si>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</si>
  <si>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</si>
  <si>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</si>
  <si>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</si>
  <si>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</si>
  <si>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</si>
  <si>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</si>
  <si>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</si>
  <si>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</si>
  <si>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</si>
  <si>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</si>
  <si>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</si>
  <si>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</si>
  <si>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</si>
  <si>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</si>
  <si>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</si>
  <si>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</si>
  <si>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</si>
  <si>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</si>
  <si>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</si>
  <si>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</si>
  <si>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</si>
  <si>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</si>
  <si>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</si>
  <si>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</si>
  <si>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</si>
  <si>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</si>
  <si>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</si>
  <si>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</si>
  <si>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</si>
  <si>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</si>
  <si>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</si>
  <si>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</si>
  <si>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</si>
  <si>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</si>
  <si>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</si>
  <si>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</si>
  <si>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</si>
  <si>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</si>
  <si>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</si>
  <si>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</si>
  <si>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</si>
  <si>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</si>
  <si>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</si>
  <si>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</si>
  <si>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</si>
  <si>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</si>
  <si>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</si>
  <si>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</si>
  <si>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</si>
  <si>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</si>
  <si>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</si>
  <si>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</si>
  <si>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</si>
  <si>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</si>
  <si>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</si>
  <si>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</si>
  <si>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</si>
  <si>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</si>
  <si>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</si>
  <si>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</si>
  <si>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</si>
  <si>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</si>
  <si>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</si>
  <si>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</si>
  <si>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</si>
  <si>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</si>
  <si>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</si>
  <si>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</si>
  <si>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</si>
  <si>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</si>
  <si>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</si>
  <si>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</si>
  <si>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</si>
  <si>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</si>
  <si>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</si>
  <si>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</si>
  <si>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</si>
  <si>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</si>
  <si>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</si>
  <si>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</si>
  <si>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</si>
  <si>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</si>
  <si>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</si>
  <si>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</si>
  <si>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</si>
  <si>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</si>
  <si>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</si>
  <si>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</si>
  <si>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</si>
  <si>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</si>
  <si>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</si>
  <si>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</si>
  <si>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</si>
  <si>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</si>
  <si>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</si>
  <si>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</si>
  <si>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</si>
  <si>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</si>
  <si>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</si>
  <si>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</si>
  <si>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</si>
  <si>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</si>
  <si>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</si>
  <si>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</si>
  <si>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</si>
  <si>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</si>
  <si>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</si>
  <si>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</si>
  <si>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</si>
  <si>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</si>
  <si>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</si>
  <si>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</si>
  <si>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</si>
  <si>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</si>
  <si>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</si>
  <si>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</si>
  <si>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</si>
  <si>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</si>
  <si>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</si>
  <si>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</si>
  <si>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</si>
  <si>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</si>
  <si>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</si>
  <si>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</si>
  <si>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</si>
  <si>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</si>
  <si>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</si>
  <si>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</si>
  <si>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</si>
  <si>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</si>
  <si>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</si>
  <si>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</si>
  <si>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</si>
  <si>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</si>
  <si>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</si>
  <si>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</si>
  <si>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</si>
  <si>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</si>
  <si>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</si>
  <si>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</si>
  <si>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</si>
  <si>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</si>
  <si>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</si>
  <si>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</si>
  <si>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</si>
  <si>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</si>
  <si>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</si>
  <si>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</si>
  <si>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</si>
  <si>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</si>
  <si>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</si>
  <si>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</si>
  <si>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</si>
  <si>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</si>
  <si>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</si>
  <si>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</si>
  <si>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</si>
  <si>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</si>
  <si>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</si>
  <si>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</si>
  <si>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</si>
  <si>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</si>
  <si>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</si>
  <si>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</si>
  <si>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</si>
  <si>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</si>
  <si>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</si>
  <si>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</si>
  <si>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</si>
  <si>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</si>
  <si>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</si>
  <si>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</si>
  <si>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</si>
  <si>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</si>
  <si>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</si>
  <si>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</si>
  <si>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</si>
  <si>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</si>
  <si>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</si>
  <si>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</si>
  <si>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</si>
  <si>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</si>
  <si>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</si>
  <si>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</si>
  <si>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</si>
  <si>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</si>
  <si>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</si>
  <si>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</si>
  <si>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</si>
  <si>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</si>
  <si>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</si>
  <si>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</si>
  <si>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</si>
  <si>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</si>
  <si>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</si>
  <si>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</si>
  <si>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</si>
  <si>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</si>
  <si>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</si>
  <si>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</si>
  <si>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</si>
  <si>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</si>
  <si>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</si>
  <si>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</si>
  <si>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</si>
  <si>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</si>
  <si>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</si>
  <si>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</si>
  <si>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</si>
  <si>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</si>
  <si>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</si>
  <si>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</si>
  <si>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</si>
  <si>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</si>
  <si>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</si>
  <si>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</si>
  <si>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</si>
  <si>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</si>
  <si>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</si>
  <si>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</si>
  <si>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</si>
  <si>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</si>
  <si>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</si>
  <si>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</si>
  <si>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</si>
  <si>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</si>
  <si>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</si>
  <si>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</si>
  <si>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</si>
  <si>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</si>
  <si>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</si>
  <si>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</si>
  <si>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</si>
  <si>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</si>
  <si>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</si>
  <si>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</si>
  <si>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</si>
  <si>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</si>
  <si>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</si>
  <si>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</si>
  <si>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</si>
  <si>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</si>
  <si>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</si>
  <si>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</si>
  <si>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</si>
  <si>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</si>
  <si>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</si>
  <si>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</si>
  <si>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</si>
  <si>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</si>
  <si>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</si>
  <si>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</si>
  <si>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</si>
  <si>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</si>
  <si>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</si>
  <si>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</si>
  <si>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</si>
  <si>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</si>
  <si>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</si>
  <si>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</si>
  <si>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</si>
  <si>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</si>
  <si>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</si>
  <si>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</si>
  <si>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</si>
  <si>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</si>
  <si>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</si>
  <si>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</si>
  <si>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</si>
  <si>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</si>
  <si>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</si>
  <si>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</si>
  <si>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</si>
  <si>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</si>
  <si>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</si>
  <si>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</si>
  <si>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</si>
  <si>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</si>
  <si>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</si>
  <si>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</si>
  <si>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</si>
  <si>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</si>
  <si>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</si>
  <si>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</si>
  <si>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</si>
  <si>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</si>
  <si>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</si>
  <si>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</si>
  <si>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</si>
  <si>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</si>
  <si>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</si>
  <si>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</si>
  <si>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</si>
  <si>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</si>
  <si>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</si>
  <si>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</si>
  <si>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</si>
  <si>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</si>
  <si>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</si>
  <si>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</si>
  <si>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</si>
  <si>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</si>
  <si>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</si>
  <si>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</si>
  <si>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</si>
  <si>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</si>
  <si>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</si>
  <si>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</si>
  <si>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</si>
  <si>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negocio respondida atraves de alguma analise de dados especifica</t>
  </si>
  <si>
    <r>
      <t>pergunta de negocio 1 -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 xml:space="preserve"> (contendo todas as assinaturas agregadas) </t>
    </r>
  </si>
  <si>
    <t>Rótulos de Linha</t>
  </si>
  <si>
    <t>Total Geral</t>
  </si>
  <si>
    <t>Soma de Total Value</t>
  </si>
  <si>
    <r>
      <t xml:space="preserve">pergunta de negocio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renovção</t>
    </r>
  </si>
  <si>
    <t>PERGUNTA DE NEGOCIOS 3 - Total de vendas de assinaturas do EA play</t>
  </si>
  <si>
    <t>Soma de EA Play Season Pass</t>
  </si>
  <si>
    <t>pergunta negocio 4 - total de vendas de assinaturas do Miniecraft Season Pess</t>
  </si>
  <si>
    <t>Soma de Minecraft Season Pass Price</t>
  </si>
  <si>
    <t xml:space="preserve">    XBOX GAME PRESS SUBSCRIPTIONS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</si>
</sst>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Segoe E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8" borderId="0" xfId="0" applyFont="1" applyFill="1"/>
    <xf numFmtId="0" fontId="5" fillId="0" borderId="0" xfId="0" applyFont="1"/>
    <xf numFmtId="44" fontId="0" fillId="0" borderId="0" xfId="2" applyFont="1"/>
    <xf numFmtId="0" fontId="5" fillId="4" borderId="0" xfId="0" applyFont="1" applyFill="1"/>
    <xf numFmtId="0" fontId="0" fillId="0" borderId="0" xfId="0" applyBorder="1"/>
    <xf numFmtId="0" fontId="6" fillId="0" borderId="2" xfId="1" applyFont="1" applyBorder="1"/>
    <xf numFmtId="0" fontId="5" fillId="0" borderId="2" xfId="0" applyFont="1" applyBorder="1"/>
    <xf numFmtId="0" fontId="7" fillId="7" borderId="0" xfId="0" applyFont="1" applyFill="1"/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E37350D-AFEE-4908-885F-BA585E9BB3F9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(2).xlsx]C̳álculos!tbl_anual_total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5008759458454518E-2"/>
          <c:y val="5.0925925925925923E-2"/>
          <c:w val="0.9472128080522623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2E-4EC5-B313-6ECC38D34FC4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2E-4EC5-B313-6ECC38D34F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2E-4EC5-B313-6ECC38D3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0914480"/>
        <c:axId val="1560913040"/>
      </c:barChart>
      <c:catAx>
        <c:axId val="156091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0913040"/>
        <c:crosses val="autoZero"/>
        <c:auto val="1"/>
        <c:lblAlgn val="ctr"/>
        <c:lblOffset val="100"/>
        <c:noMultiLvlLbl val="0"/>
      </c:catAx>
      <c:valAx>
        <c:axId val="1560913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09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1488280</xdr:colOff>
      <xdr:row>0</xdr:row>
      <xdr:rowOff>0</xdr:rowOff>
    </xdr:from>
    <xdr:to>
      <xdr:col>2</xdr:col>
      <xdr:colOff>166685</xdr:colOff>
      <xdr:row>4</xdr:row>
      <xdr:rowOff>64741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42C0FC-09AA-438C-9466-955032C0E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602" t="1" r="71982" b="-1"/>
        <a:stretch/>
      </xdr:blipFill>
      <xdr:spPr>
        <a:xfrm>
          <a:off x="1488280" y="0"/>
          <a:ext cx="750093" cy="791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335756</xdr:rowOff>
    </xdr:from>
    <xdr:to>
      <xdr:col>0</xdr:col>
      <xdr:colOff>1828800</xdr:colOff>
      <xdr:row>20</xdr:row>
      <xdr:rowOff>71438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112EB7F-6179-49B3-A5F0-CBD6F75DD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07319"/>
              <a:ext cx="182880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119062</xdr:colOff>
      <xdr:row>7</xdr:row>
      <xdr:rowOff>208359</xdr:rowOff>
    </xdr:from>
    <xdr:to>
      <xdr:col>9</xdr:col>
      <xdr:colOff>452437</xdr:colOff>
      <xdr:row>14</xdr:row>
      <xdr:rowOff>125016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760BC86-1D29-8FCD-E706-DD8AF1FF83FE}"/>
            </a:ext>
          </a:extLst>
        </xdr:cNvPr>
        <xdr:cNvGrpSpPr/>
      </xdr:nvGrpSpPr>
      <xdr:grpSpPr>
        <a:xfrm>
          <a:off x="1952625" y="1279922"/>
          <a:ext cx="4822031" cy="1476375"/>
          <a:chOff x="1988344" y="1285875"/>
          <a:chExt cx="4822031" cy="147637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DF85554-3FC5-6012-659D-DB1A5BEF6DA0}"/>
              </a:ext>
            </a:extLst>
          </xdr:cNvPr>
          <xdr:cNvSpPr/>
        </xdr:nvSpPr>
        <xdr:spPr>
          <a:xfrm>
            <a:off x="2000250" y="1333500"/>
            <a:ext cx="4810125" cy="14287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72E5661-C142-4CF9-8722-838AB4B27F47}"/>
              </a:ext>
            </a:extLst>
          </xdr:cNvPr>
          <xdr:cNvSpPr/>
        </xdr:nvSpPr>
        <xdr:spPr>
          <a:xfrm>
            <a:off x="2565797" y="1404937"/>
            <a:ext cx="4238625" cy="116919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6D4D0E6-DE29-4CCB-9507-F7EB5739AB3F}" type="TxLink">
              <a:rPr lang="en-US" sz="3600" b="0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pt-BR" sz="44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FCE9C91-4E84-40F5-9B51-A10A74441D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65759" y="1393031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1CC9B27-BD3A-EADC-DBA2-8D49FCCFBFC4}"/>
              </a:ext>
            </a:extLst>
          </xdr:cNvPr>
          <xdr:cNvSpPr/>
        </xdr:nvSpPr>
        <xdr:spPr>
          <a:xfrm>
            <a:off x="1988344" y="1285875"/>
            <a:ext cx="4822031" cy="40481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SUBSCRIPITIONS EA PLAY SEASON PASS</a:t>
            </a:r>
          </a:p>
        </xdr:txBody>
      </xdr:sp>
    </xdr:grpSp>
    <xdr:clientData/>
  </xdr:twoCellAnchor>
  <xdr:twoCellAnchor>
    <xdr:from>
      <xdr:col>10</xdr:col>
      <xdr:colOff>238125</xdr:colOff>
      <xdr:row>7</xdr:row>
      <xdr:rowOff>208359</xdr:rowOff>
    </xdr:from>
    <xdr:to>
      <xdr:col>18</xdr:col>
      <xdr:colOff>369094</xdr:colOff>
      <xdr:row>14</xdr:row>
      <xdr:rowOff>125016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D77EFE45-00E6-1E74-5C6A-0C8B8FED7262}"/>
            </a:ext>
          </a:extLst>
        </xdr:cNvPr>
        <xdr:cNvGrpSpPr/>
      </xdr:nvGrpSpPr>
      <xdr:grpSpPr>
        <a:xfrm>
          <a:off x="7167563" y="1279922"/>
          <a:ext cx="4822031" cy="1476375"/>
          <a:chOff x="7215188" y="1297781"/>
          <a:chExt cx="4822031" cy="147637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A226895-78DE-4D34-9869-995FB4F284BE}"/>
              </a:ext>
            </a:extLst>
          </xdr:cNvPr>
          <xdr:cNvGrpSpPr/>
        </xdr:nvGrpSpPr>
        <xdr:grpSpPr>
          <a:xfrm>
            <a:off x="7215188" y="1297781"/>
            <a:ext cx="4822031" cy="1476375"/>
            <a:chOff x="1988344" y="1285875"/>
            <a:chExt cx="4822031" cy="147637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CB05B0B-4BB1-8899-CF63-05BDB0D8C68A}"/>
                </a:ext>
              </a:extLst>
            </xdr:cNvPr>
            <xdr:cNvSpPr/>
          </xdr:nvSpPr>
          <xdr:spPr>
            <a:xfrm>
              <a:off x="2000250" y="1333500"/>
              <a:ext cx="4810125" cy="1428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962F298-927F-A349-9B45-0647B1A2EC0F}"/>
                </a:ext>
              </a:extLst>
            </xdr:cNvPr>
            <xdr:cNvSpPr/>
          </xdr:nvSpPr>
          <xdr:spPr>
            <a:xfrm>
              <a:off x="2541984" y="1643063"/>
              <a:ext cx="4238625" cy="103584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4D9BB67-8CF4-4E1D-A8E2-DEC60D3325F1}" type="TxLink">
                <a:rPr lang="en-US" sz="3600" b="0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pt-BR" sz="360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51B26132-AF09-26E7-8F0A-1C53C3CEA220}"/>
                </a:ext>
              </a:extLst>
            </xdr:cNvPr>
            <xdr:cNvSpPr/>
          </xdr:nvSpPr>
          <xdr:spPr>
            <a:xfrm>
              <a:off x="1988344" y="1285875"/>
              <a:ext cx="4822031" cy="40481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SUBSCRIPITIONS EA PLAY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6D7D6D0-0926-4D8D-9192-ED7FD3547541}"/>
              </a:ext>
            </a:extLst>
          </xdr:cNvPr>
          <xdr:cNvGrpSpPr/>
        </xdr:nvGrpSpPr>
        <xdr:grpSpPr>
          <a:xfrm>
            <a:off x="7358063" y="1774031"/>
            <a:ext cx="1238250" cy="66675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AF629B29-9C35-BB0C-2E1B-C3C0B1F717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E479141-A19D-3CA8-B1C5-96C1FA99BE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119062</xdr:colOff>
      <xdr:row>15</xdr:row>
      <xdr:rowOff>71437</xdr:rowOff>
    </xdr:from>
    <xdr:to>
      <xdr:col>18</xdr:col>
      <xdr:colOff>416719</xdr:colOff>
      <xdr:row>32</xdr:row>
      <xdr:rowOff>16670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1A28D16-4CBB-BD18-2A43-5C90B6468C51}"/>
            </a:ext>
          </a:extLst>
        </xdr:cNvPr>
        <xdr:cNvGrpSpPr/>
      </xdr:nvGrpSpPr>
      <xdr:grpSpPr>
        <a:xfrm>
          <a:off x="1952625" y="2893218"/>
          <a:ext cx="10046494" cy="3183733"/>
          <a:chOff x="1952625" y="2893218"/>
          <a:chExt cx="10084594" cy="318373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90F7CAB-DB43-7D57-BAE0-93CD77C14E92}"/>
              </a:ext>
            </a:extLst>
          </xdr:cNvPr>
          <xdr:cNvGrpSpPr/>
        </xdr:nvGrpSpPr>
        <xdr:grpSpPr>
          <a:xfrm>
            <a:off x="1952625" y="2893219"/>
            <a:ext cx="10084594" cy="3183732"/>
            <a:chOff x="2179209" y="1154906"/>
            <a:chExt cx="4964906" cy="318373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BBF64ED-3D8B-0CAE-828A-E7EE6556EA3D}"/>
                </a:ext>
              </a:extLst>
            </xdr:cNvPr>
            <xdr:cNvSpPr/>
          </xdr:nvSpPr>
          <xdr:spPr>
            <a:xfrm>
              <a:off x="2179209" y="1154906"/>
              <a:ext cx="4964906" cy="31194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AEBC30D-A8D4-4FDC-9D44-C8F5971F13AD}"/>
                </a:ext>
              </a:extLst>
            </xdr:cNvPr>
            <xdr:cNvGraphicFramePr>
              <a:graphicFrameLocks/>
            </xdr:cNvGraphicFramePr>
          </xdr:nvGraphicFramePr>
          <xdr:xfrm>
            <a:off x="2321720" y="1595438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53595E5C-C0F3-488D-9920-364C041BCAF1}"/>
              </a:ext>
            </a:extLst>
          </xdr:cNvPr>
          <xdr:cNvSpPr/>
        </xdr:nvSpPr>
        <xdr:spPr>
          <a:xfrm>
            <a:off x="1964531" y="2893218"/>
            <a:ext cx="10072688" cy="40481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SUBSCRIPITIONS XBOX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PESS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488157</xdr:colOff>
      <xdr:row>0</xdr:row>
      <xdr:rowOff>142876</xdr:rowOff>
    </xdr:from>
    <xdr:to>
      <xdr:col>0</xdr:col>
      <xdr:colOff>1183482</xdr:colOff>
      <xdr:row>5</xdr:row>
      <xdr:rowOff>16670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F4B83E37-98CB-43EC-AF75-024A9F8299DB}"/>
            </a:ext>
          </a:extLst>
        </xdr:cNvPr>
        <xdr:cNvSpPr/>
      </xdr:nvSpPr>
      <xdr:spPr>
        <a:xfrm>
          <a:off x="488157" y="142876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5</xdr:row>
      <xdr:rowOff>95250</xdr:rowOff>
    </xdr:from>
    <xdr:to>
      <xdr:col>0</xdr:col>
      <xdr:colOff>1619250</xdr:colOff>
      <xdr:row>7</xdr:row>
      <xdr:rowOff>59531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44AF5AFE-BC83-F5FA-E948-16BDFCB27B2C}"/>
            </a:ext>
          </a:extLst>
        </xdr:cNvPr>
        <xdr:cNvSpPr/>
      </xdr:nvSpPr>
      <xdr:spPr>
        <a:xfrm>
          <a:off x="0" y="916781"/>
          <a:ext cx="1619250" cy="21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171450" indent="-171450" algn="l">
            <a:buFont typeface="Wingdings" panose="05000000000000000000" pitchFamily="2" charset="2"/>
            <a:buChar char="Ø"/>
          </a:pPr>
          <a:r>
            <a:rPr lang="pt-BR" sz="1100" b="1"/>
            <a:t>Bem</a:t>
          </a:r>
          <a:r>
            <a:rPr lang="pt-BR" sz="1100" b="1" baseline="0"/>
            <a:t> Vinda Eliana</a:t>
          </a:r>
          <a:endParaRPr lang="pt-BR" sz="1100" b="1"/>
        </a:p>
      </xdr:txBody>
    </xdr:sp>
    <xdr:clientData/>
  </xdr:twoCellAnchor>
  <xdr:twoCellAnchor>
    <xdr:from>
      <xdr:col>1</xdr:col>
      <xdr:colOff>202405</xdr:colOff>
      <xdr:row>5</xdr:row>
      <xdr:rowOff>23813</xdr:rowOff>
    </xdr:from>
    <xdr:to>
      <xdr:col>11</xdr:col>
      <xdr:colOff>202405</xdr:colOff>
      <xdr:row>7</xdr:row>
      <xdr:rowOff>59531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C532AEA4-44F7-CF10-965E-AA9F1232A07C}"/>
            </a:ext>
          </a:extLst>
        </xdr:cNvPr>
        <xdr:cNvSpPr/>
      </xdr:nvSpPr>
      <xdr:spPr>
        <a:xfrm>
          <a:off x="2035968" y="845344"/>
          <a:ext cx="5703093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</a:rPr>
            <a:t>Calculation Period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</a:rPr>
            <a:t> </a:t>
          </a:r>
          <a:r>
            <a:rPr lang="pt-BR" sz="1100" b="1">
              <a:solidFill>
                <a:schemeClr val="bg1">
                  <a:lumMod val="65000"/>
                </a:schemeClr>
              </a:solidFill>
            </a:rPr>
            <a:t>01/01/2024 -31/12/2024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8.863038888892" createdVersion="8" refreshedVersion="8" minRefreshableVersion="3" recordCount="295" xr:uid="{54C6E5DD-7BBA-446A-944F-46F4A2A403C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493824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33F7F-A33E-4B3B-A4BE-EA61358B1A4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B4F4F-2ADD-4F0A-9042-CE76441C90B0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C532-CF61-4BAC-81B9-6FE74B7E84E0}" name="tbl_pe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C210123-B3EB-4E55-927A-F8114F4DC1B2}" sourceName="Subscription Type">
  <pivotTables>
    <pivotTable tabId="3" name="tbl_anual_total"/>
    <pivotTable tabId="3" name="tbl_pess"/>
    <pivotTable tabId="3" name="Tabela dinâmica1"/>
  </pivotTables>
  <data>
    <tabular pivotCacheId="154938242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DE95553-43DC-47D0-AF83-61CFB7D94399}" cache="SegmentaçãodeDados_Subscription_Type" caption="Subscription Type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I6" sqref="I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I6" sqref="I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G37"/>
  <sheetViews>
    <sheetView showGridLines="0" topLeftCell="A24" workbookViewId="0">
      <selection activeCell="I6" sqref="I6"/>
    </sheetView>
  </sheetViews>
  <sheetFormatPr defaultRowHeight="15"/>
  <cols>
    <col min="2" max="2" width="18.42578125" bestFit="1" customWidth="1"/>
    <col min="3" max="3" width="35.140625" bestFit="1" customWidth="1"/>
    <col min="4" max="4" width="8.28515625" bestFit="1" customWidth="1"/>
    <col min="5" max="5" width="12.140625" bestFit="1" customWidth="1"/>
    <col min="6" max="6" width="10.710937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7">
      <c r="B6" s="15" t="s">
        <v>313</v>
      </c>
      <c r="C6" s="15"/>
      <c r="D6" s="15"/>
      <c r="E6" s="15"/>
      <c r="F6" s="15"/>
      <c r="G6" s="15"/>
    </row>
    <row r="8" spans="2:7">
      <c r="B8" t="s">
        <v>314</v>
      </c>
    </row>
    <row r="9" spans="2:7">
      <c r="B9" t="s">
        <v>318</v>
      </c>
    </row>
    <row r="11" spans="2:7">
      <c r="B11" s="12" t="s">
        <v>16</v>
      </c>
      <c r="C11" t="s">
        <v>27</v>
      </c>
    </row>
    <row r="13" spans="2:7">
      <c r="B13" s="12" t="s">
        <v>315</v>
      </c>
      <c r="C13" t="s">
        <v>317</v>
      </c>
    </row>
    <row r="14" spans="2:7">
      <c r="B14" s="13" t="s">
        <v>23</v>
      </c>
      <c r="C14" s="14">
        <v>806</v>
      </c>
    </row>
    <row r="15" spans="2:7">
      <c r="B15" s="13" t="s">
        <v>19</v>
      </c>
      <c r="C15" s="14">
        <v>1502</v>
      </c>
    </row>
    <row r="16" spans="2:7">
      <c r="B16" s="13" t="s">
        <v>316</v>
      </c>
      <c r="C16" s="14">
        <v>2308</v>
      </c>
    </row>
    <row r="18" spans="2:5">
      <c r="B18" s="13" t="s">
        <v>319</v>
      </c>
    </row>
    <row r="20" spans="2:5">
      <c r="B20" s="12" t="s">
        <v>16</v>
      </c>
      <c r="C20" t="s">
        <v>27</v>
      </c>
    </row>
    <row r="22" spans="2:5">
      <c r="B22" s="12" t="s">
        <v>315</v>
      </c>
      <c r="C22" t="s">
        <v>320</v>
      </c>
    </row>
    <row r="23" spans="2:5">
      <c r="B23" s="13" t="s">
        <v>22</v>
      </c>
      <c r="C23" s="14">
        <v>0</v>
      </c>
    </row>
    <row r="24" spans="2:5">
      <c r="B24" s="13" t="s">
        <v>26</v>
      </c>
      <c r="C24" s="14">
        <v>0</v>
      </c>
    </row>
    <row r="25" spans="2:5">
      <c r="B25" s="13" t="s">
        <v>18</v>
      </c>
      <c r="C25" s="14">
        <v>990</v>
      </c>
    </row>
    <row r="26" spans="2:5">
      <c r="B26" s="13" t="s">
        <v>316</v>
      </c>
      <c r="C26" s="14">
        <v>990</v>
      </c>
      <c r="E26" s="17">
        <f>GETPIVOTDATA("EA Play Season Pass
Price",$B$22)</f>
        <v>990</v>
      </c>
    </row>
    <row r="28" spans="2:5">
      <c r="B28" s="13" t="s">
        <v>321</v>
      </c>
    </row>
    <row r="31" spans="2:5">
      <c r="B31" s="12" t="s">
        <v>16</v>
      </c>
      <c r="C31" t="s">
        <v>27</v>
      </c>
    </row>
    <row r="33" spans="2:5">
      <c r="B33" s="12" t="s">
        <v>315</v>
      </c>
      <c r="C33" t="s">
        <v>322</v>
      </c>
    </row>
    <row r="34" spans="2:5">
      <c r="B34" s="13" t="s">
        <v>22</v>
      </c>
      <c r="C34" s="14">
        <v>0</v>
      </c>
    </row>
    <row r="35" spans="2:5">
      <c r="B35" s="13" t="s">
        <v>26</v>
      </c>
      <c r="C35" s="14">
        <v>480</v>
      </c>
    </row>
    <row r="36" spans="2:5">
      <c r="B36" s="13" t="s">
        <v>18</v>
      </c>
      <c r="C36" s="14">
        <v>660</v>
      </c>
    </row>
    <row r="37" spans="2:5">
      <c r="B37" s="13" t="s">
        <v>316</v>
      </c>
      <c r="C37" s="14">
        <v>1140</v>
      </c>
      <c r="E37" s="17">
        <f>GETPIVOTDATA("Minecraft Season Pass Price",$B$33)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L247"/>
  <sheetViews>
    <sheetView showGridLines="0" showRowColHeaders="0" tabSelected="1" zoomScale="80" zoomScaleNormal="80" workbookViewId="0">
      <selection activeCell="U38" sqref="U38"/>
    </sheetView>
  </sheetViews>
  <sheetFormatPr defaultRowHeight="15"/>
  <cols>
    <col min="1" max="1" width="27.5703125" style="4" customWidth="1"/>
    <col min="2" max="2" width="3.5703125" customWidth="1"/>
    <col min="12" max="12" width="6.5703125" customWidth="1"/>
    <col min="19" max="19" width="5.7109375" customWidth="1"/>
  </cols>
  <sheetData>
    <row r="1" spans="1:64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64" s="16" customFormat="1" ht="17.25" customHeight="1" thickBot="1">
      <c r="A2" s="18"/>
      <c r="B2" s="20"/>
      <c r="C2" s="20" t="s">
        <v>323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</row>
    <row r="3" spans="1:64" ht="17.25" customHeight="1" thickTop="1"/>
    <row r="4" spans="1:64" ht="8.25" customHeight="1"/>
    <row r="5" spans="1:64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</row>
    <row r="6" spans="1:64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</row>
    <row r="7" spans="1:64" ht="9.75" customHeight="1">
      <c r="B7" s="7"/>
      <c r="C7" s="22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64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</row>
    <row r="10" spans="1:64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</row>
    <row r="11" spans="1:64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spans="1:64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64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</row>
    <row r="14" spans="1:64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</row>
    <row r="15" spans="1:64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</row>
    <row r="16" spans="1:64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</row>
    <row r="17" spans="2:6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</row>
    <row r="18" spans="2:6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spans="2:64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</row>
    <row r="20" spans="2:6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2:6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2:64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</row>
    <row r="23" spans="2:6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spans="2:6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2:64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</row>
    <row r="26" spans="2:64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</row>
    <row r="27" spans="2:64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 spans="2:6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 spans="2:64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 spans="2:64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spans="2:64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 spans="2:64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 spans="2:64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 spans="2:6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 spans="2:64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 spans="2:64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 spans="2:64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 spans="2:64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2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 spans="2:64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2:64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 spans="2:64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spans="2:64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 spans="2:64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 spans="2:64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 spans="2:64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 spans="2:64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 spans="2:64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 spans="2:6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 spans="2:64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 spans="2:64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 spans="2:64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spans="2:64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 spans="2:64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 spans="2:64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 spans="2:64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 spans="2:64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 spans="2:64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 spans="2:64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 spans="2:64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 spans="2:64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 spans="2:64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 spans="2:64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 spans="2:64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 spans="2:6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 spans="2:64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 spans="2:64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 spans="2:6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 spans="2:64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 spans="2:6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 spans="2:64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spans="2:64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 spans="2:64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 spans="2:64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spans="2:6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spans="2:64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spans="2:6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spans="2:6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 spans="2:6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spans="2:6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spans="2:6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 spans="2:6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 spans="2:6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spans="2:6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spans="2:6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 spans="2:6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 spans="2:6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 spans="2:6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 spans="2:6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 spans="2:64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 spans="2:64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 spans="2:64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 spans="2:64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 spans="2:64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 spans="2:64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 spans="2:64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 spans="2:64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 spans="2:6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 spans="2:64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 spans="2:64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 spans="2:64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 spans="2:64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 spans="2:64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 spans="2:64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 spans="2:64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 spans="2:64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 spans="2:64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 spans="2:64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 spans="2:64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 spans="2:64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 spans="2:64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 spans="2:64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 spans="2:64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 spans="2:64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2:64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2:64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2:64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2:64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2:64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2:64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2:64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2:64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2:64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2:64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2:64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2:64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2:64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2:64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2:64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 spans="2:64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 spans="2:64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 spans="2:64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 spans="2:64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 spans="2:64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 spans="2:64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 spans="2:64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 spans="2:64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 spans="2:64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 spans="2:64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 spans="2:64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 spans="2:64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 spans="2:64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 spans="2:64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 spans="2:64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 spans="2:64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 spans="2:64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 spans="2:64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 spans="2:64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 spans="2:64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 spans="2:64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 spans="2:64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 spans="2:64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 spans="2:64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 spans="2:64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 spans="2:64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 spans="2:64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 spans="2:64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 spans="2:64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 spans="2:64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 spans="2:64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 spans="2:64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 spans="2:64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 spans="2:64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 spans="2:64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 spans="2:64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 spans="2:64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 spans="2:64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 spans="2:64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 spans="2:64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 spans="2:64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 spans="2:64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 spans="2:64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 spans="2:64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 spans="2:64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 spans="2:64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 spans="2:64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 spans="2:64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 spans="2:64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 spans="2:64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 spans="2:64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 spans="2:64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 spans="2:64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 spans="2:64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 spans="2:64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 spans="2:64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 spans="2:64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 spans="2:64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 spans="2:64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 spans="2:64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 spans="2:64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 spans="2:64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 spans="2:64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 spans="2:64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 spans="2:64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 spans="2:64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 spans="2:64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 spans="2:64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 spans="2:64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 spans="2:64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 spans="2:64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 spans="2:64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 spans="2:64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 spans="2:64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 spans="2:64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 spans="2:64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 spans="2:64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 spans="2:64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 spans="2:64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 spans="2:64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 spans="2:64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 spans="2:64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 spans="2:64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 spans="2:64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 spans="2:64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 spans="2:64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 spans="2:64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 spans="2:64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 spans="2:64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 spans="2:64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 spans="2:64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 spans="2:64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 spans="2:64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 spans="2:64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 spans="2:64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 spans="2:64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 spans="2:64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 spans="2:64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 spans="2:64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 spans="2:64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 spans="2:64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 spans="2:64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 spans="2:64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 spans="2:64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 spans="2:64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 spans="2:64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 spans="2:64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 spans="2:64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 spans="2:64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 spans="2:64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 spans="2:64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 spans="2:64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 spans="2:64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 spans="2:64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 spans="2:64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 spans="2:64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 spans="2:64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 spans="2:64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 spans="2:64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jhonathan .</cp:lastModifiedBy>
  <dcterms:created xsi:type="dcterms:W3CDTF">2024-12-19T13:13:10Z</dcterms:created>
  <dcterms:modified xsi:type="dcterms:W3CDTF">2026-04-07T10:53:14Z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